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X1-Carbon\Downloads\"/>
    </mc:Choice>
  </mc:AlternateContent>
  <xr:revisionPtr revIDLastSave="0" documentId="13_ncr:1_{F379B1F6-97B2-45BD-B039-2902386F79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kraplacze oszczędność" sheetId="1" r:id="rId1"/>
    <sheet name="Kotły oczędnoś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7" i="2"/>
  <c r="B27" i="1" l="1"/>
  <c r="B23" i="2"/>
  <c r="B17" i="2"/>
  <c r="B19" i="2" s="1"/>
  <c r="B8" i="2"/>
  <c r="B21" i="2"/>
  <c r="B22" i="2" s="1"/>
  <c r="B25" i="1"/>
  <c r="B22" i="1"/>
  <c r="B19" i="1"/>
  <c r="B23" i="1" l="1"/>
  <c r="B28" i="1" s="1"/>
  <c r="B26" i="1"/>
  <c r="B29" i="1" s="1"/>
  <c r="B25" i="2"/>
  <c r="B24" i="2"/>
  <c r="B9" i="2"/>
  <c r="B10" i="2" s="1"/>
  <c r="B11" i="1"/>
  <c r="B30" i="1" l="1"/>
  <c r="B34" i="1" s="1"/>
  <c r="B26" i="2"/>
  <c r="B28" i="2"/>
  <c r="B31" i="2" s="1"/>
  <c r="B35" i="2"/>
  <c r="B9" i="1"/>
  <c r="B36" i="2" l="1"/>
  <c r="D37" i="2" s="1"/>
  <c r="B12" i="1"/>
  <c r="B13" i="1" l="1"/>
  <c r="B14" i="1" s="1"/>
  <c r="D35" i="1" s="1"/>
</calcChain>
</file>

<file path=xl/sharedStrings.xml><?xml version="1.0" encoding="utf-8"?>
<sst xmlns="http://schemas.openxmlformats.org/spreadsheetml/2006/main" count="220" uniqueCount="152">
  <si>
    <t>Parametr</t>
  </si>
  <si>
    <t>Wartość</t>
  </si>
  <si>
    <t>Jednostka</t>
  </si>
  <si>
    <t>Moc chłodnicza układu</t>
  </si>
  <si>
    <t>kW</t>
  </si>
  <si>
    <t>COP układu</t>
  </si>
  <si>
    <t>-</t>
  </si>
  <si>
    <t>Godziny pracy rocznie</t>
  </si>
  <si>
    <t>h</t>
  </si>
  <si>
    <t>Cena energii</t>
  </si>
  <si>
    <t>PLN/MWh</t>
  </si>
  <si>
    <t>Średnica nominalna czystej wężownicy</t>
  </si>
  <si>
    <t>mm</t>
  </si>
  <si>
    <t>Średnica zmierzona z osadem</t>
  </si>
  <si>
    <t>Wyliczona grubość osadu</t>
  </si>
  <si>
    <t>Strata sprawności</t>
  </si>
  <si>
    <t>Moc elektryczna układu</t>
  </si>
  <si>
    <t>Dodatkowa moc elektryczna</t>
  </si>
  <si>
    <t>Roczna strata energii</t>
  </si>
  <si>
    <t>kWh</t>
  </si>
  <si>
    <t>Roczny koszt strat</t>
  </si>
  <si>
    <t>Tabela automatycznej straty sprawności</t>
  </si>
  <si>
    <t>Grubość osadu [mm]</t>
  </si>
  <si>
    <t xml:space="preserve">Cena energii netto </t>
  </si>
  <si>
    <t>Osad uwzględniony z dwóch stron wężownicy podzielony przez 2</t>
  </si>
  <si>
    <t>Dla chłodnictwa przemysłowego:</t>
  </si>
  <si>
    <t>Typ układu</t>
  </si>
  <si>
    <t>Typowy COP</t>
  </si>
  <si>
    <t>stare agregaty</t>
  </si>
  <si>
    <t>2,0–2,8</t>
  </si>
  <si>
    <t>standardowe chillery</t>
  </si>
  <si>
    <t>3,0–4,0</t>
  </si>
  <si>
    <t>nowoczesne chillery</t>
  </si>
  <si>
    <t>4,5–6</t>
  </si>
  <si>
    <t>skraplacze wyparne BAC</t>
  </si>
  <si>
    <t>zwykle systemowo 3–5</t>
  </si>
  <si>
    <t>Szacowany wzrost zużycia energii</t>
  </si>
  <si>
    <t>Kalkulator wykorzystuje konserwatywny model estymacyjny oparty o wpływ osadów mineralnych na pogorszenie wymiany ciepła oraz wzrost zużycia energii elektrycznej układów chłodniczych HVAC.
Przyjęte wartości oszacowano na podstawie praktyki eksploatacyjnej, zależności HVAC/ASHRAE oraz wpływu wzrostu temperatury skraplania na efektywność energetyczną urządzeń chłodniczych.
Wyniki mają charakter szacunkowy i służą do estymacji potencjalnych strat energetycznych wynikających z obecności osadów mineralnych.</t>
  </si>
  <si>
    <t>Dla instalacji pracujących całorocznie w trybie ciągłym przyjmuje się 8760 h/rok (365 dni × 24 h).</t>
  </si>
  <si>
    <t>Pomiar grubości osadu należy wykonać poprzez zmierzenie średnicy zewnętrznej czystej wężownicy oraz średnicy wężownicy z osadem przy użyciu suwmiarki.</t>
  </si>
  <si>
    <t>Przyrost średnicy uwzględnia osad po obu stronach wężownicy, dlatego wyliczona różnica średnic dzielona jest przez 2.</t>
  </si>
  <si>
    <t>Objaśnienia</t>
  </si>
  <si>
    <t>Moc układu opisana w karcie produktu</t>
  </si>
  <si>
    <t>COP (Coefficient of Performance) – współczynnik efektywności energetycznej układu chłodniczego określający stosunek uzyskanej mocy chłodniczej do pobieranej mocy elektrycznej.  skraplacze wyparne BAC zwykle systemowo 3–5. COP powinno być opisane w karcie produktu</t>
  </si>
  <si>
    <t>zł</t>
  </si>
  <si>
    <t>Aktualna nastawa zasolenia wody na skraplaczach</t>
  </si>
  <si>
    <t>µS/cm</t>
  </si>
  <si>
    <t>Współczynnik spustu wody</t>
  </si>
  <si>
    <t>%</t>
  </si>
  <si>
    <t>Zawartość soli w uzdatnionej wodzie uzupełniającej</t>
  </si>
  <si>
    <t>Współczynnik odsalania</t>
  </si>
  <si>
    <t>Sumaryczna moc stacji skraplania</t>
  </si>
  <si>
    <r>
      <t>Entalpia parowania wody przy 33</t>
    </r>
    <r>
      <rPr>
        <sz val="11"/>
        <color theme="1"/>
        <rFont val="Calibri"/>
        <family val="2"/>
        <charset val="238"/>
      </rPr>
      <t>°C</t>
    </r>
  </si>
  <si>
    <t>kJ/kg</t>
  </si>
  <si>
    <t>Ilość odparowywanej wody</t>
  </si>
  <si>
    <t>m3/h</t>
  </si>
  <si>
    <t>Ilość odsolin z kotła po zmianach</t>
  </si>
  <si>
    <t>t/h</t>
  </si>
  <si>
    <t>Docelowy poziom zasolenia</t>
  </si>
  <si>
    <t>Współczynnik odsalania po zmianach</t>
  </si>
  <si>
    <t>Czas pracy w ciągu roku</t>
  </si>
  <si>
    <t>Ilość odsolin w ciągu roku</t>
  </si>
  <si>
    <t>T</t>
  </si>
  <si>
    <t>Ilość odsolin w ciągu roku po zmianach</t>
  </si>
  <si>
    <t>Różnica w ilości odsolin</t>
  </si>
  <si>
    <t>Koszt wody</t>
  </si>
  <si>
    <t>PLN/m3</t>
  </si>
  <si>
    <t>koszt ścieków</t>
  </si>
  <si>
    <t>Gęstośc wody</t>
  </si>
  <si>
    <t>kg/m3</t>
  </si>
  <si>
    <t>PLN</t>
  </si>
  <si>
    <t>Roczna oszczędność mediów energetycznych dla zwiększenia zatężenia w skraplaczu amoniakalnym</t>
  </si>
  <si>
    <t>SUMA OSZCZĘDNOŚCI</t>
  </si>
  <si>
    <t>Objaśnienie</t>
  </si>
  <si>
    <t>Moc cieplna kotła</t>
  </si>
  <si>
    <t>Cena gazu ziemnego</t>
  </si>
  <si>
    <t>Grubość kamienia</t>
  </si>
  <si>
    <t>Szacowany wzrost zużycia gazu</t>
  </si>
  <si>
    <t>Roczne zużycie energii</t>
  </si>
  <si>
    <t>MWh/rok</t>
  </si>
  <si>
    <t>Potencjalna oszczędność po odkamienieniu</t>
  </si>
  <si>
    <t>PLN/rok</t>
  </si>
  <si>
    <t>Aktualna nastawa zasolenia wody w kotle</t>
  </si>
  <si>
    <t>Współczynnik ilości powracającego kondensatu</t>
  </si>
  <si>
    <t>Średnia produkcja pary z kotła</t>
  </si>
  <si>
    <t>Entalpia odsolin</t>
  </si>
  <si>
    <t>Zysk energetyczny na zwiększeniu zatężenia</t>
  </si>
  <si>
    <t>Sprawność kotła parowego</t>
  </si>
  <si>
    <t>Zysk finansowy na zwiększeniu zatężenia</t>
  </si>
  <si>
    <t xml:space="preserve">PLN </t>
  </si>
  <si>
    <t>Koszt ścieków</t>
  </si>
  <si>
    <t>Gęstość wody</t>
  </si>
  <si>
    <t>Oszczędność na wodzie i ściekach</t>
  </si>
  <si>
    <t>Roczna oszczędność mediów energetycznych dla zwiększenia zatężenia w kotle parowym</t>
  </si>
  <si>
    <t>Tabela automatycznej estymacji strat</t>
  </si>
  <si>
    <t>ZAKAMIENIENIE</t>
  </si>
  <si>
    <t>ZASOLENIE</t>
  </si>
  <si>
    <t>Aktualna przewodność wody kotłowej utrzymywana podczas eksploatacji kotła.</t>
  </si>
  <si>
    <t>Procent kondensatu zawracanego do kotła po wykorzystaniu pary.</t>
  </si>
  <si>
    <t>Procent wody usuwanej z kotła w celu utrzymania wymaganej jakości wody kotłowej.</t>
  </si>
  <si>
    <t>Ilość pary produkowanej przez kocioł w ciągu godziny.</t>
  </si>
  <si>
    <t>Ilość gorącej wody usuwanej z kotła w celu kontroli zasolenia.</t>
  </si>
  <si>
    <t>Poziom przewodności możliwy do utrzymania po wdrożeniu technologii.</t>
  </si>
  <si>
    <t>Nowy poziom odsalania po zwiększeniu dopuszczalnego zasolenia.</t>
  </si>
  <si>
    <t>Ilość odsolin po wdrożeniu rozwiązania.</t>
  </si>
  <si>
    <t>Roczna ilość odsolin usuwanych z kotła przed wdrożeniem.</t>
  </si>
  <si>
    <t>Roczna ilość odsolin po wdrożeniu.</t>
  </si>
  <si>
    <t>Ilość odsolin, której można uniknąć po wdrożeniu.</t>
  </si>
  <si>
    <t>Ilość energii cieplnej zawartej w jednej tonie odsolin.</t>
  </si>
  <si>
    <t>Ilość energii odzyskanej dzięki ograniczeniu odsalania.</t>
  </si>
  <si>
    <t>Sprawność przetwarzania energii paliwa na energię zawartą w parze.</t>
  </si>
  <si>
    <t>Aktualna cena paliwa wykorzystywanego przez kocioł.</t>
  </si>
  <si>
    <t>Oszczędność kosztów paliwa wynikająca z ograniczenia strat energii.</t>
  </si>
  <si>
    <t>Koszt zakupu 1 m³ wody.</t>
  </si>
  <si>
    <t>Koszt odprowadzenia 1 m³ ścieków.</t>
  </si>
  <si>
    <t>Parametr używany do przeliczeń masy i objętości.</t>
  </si>
  <si>
    <t>Roczna oszczędność wynikająca z mniejszego zużycia wody i mniejszej ilości ścieków.</t>
  </si>
  <si>
    <t>Łączna roczna korzyść finansowa wynikająca z ograniczenia odsalania i zmniejszenia strat energii.</t>
  </si>
  <si>
    <t>Maksymalna moc cieplna kotła parowego określona przez producenta.</t>
  </si>
  <si>
    <t>Aktualny koszt zakupu gazu wykorzystywanego do produkcji pary.</t>
  </si>
  <si>
    <t>Szacowana lub zmierzona grubość osadów na powierzchniach grzewczych kotła.</t>
  </si>
  <si>
    <t>Dodatkowe zużycie paliwa wynikające z obecności osadów.</t>
  </si>
  <si>
    <t>Ilość energii dostarczanej przez kocioł w ciągu roku.</t>
  </si>
  <si>
    <t>Ilość energii traconej z powodu pogorszonej wymiany ciepła przez warstwę kamienia.</t>
  </si>
  <si>
    <t>Szacowana roczna oszczędność kosztów paliwa po usunięciu osadów.</t>
  </si>
  <si>
    <t>Aktualna przewodność wody obiegowej utrzymywana przez sterownik układu.</t>
  </si>
  <si>
    <t>Założony poziom zatrzymania substancji mineralnych w obiegu wodnym.</t>
  </si>
  <si>
    <t>Przewodność świeżej wody doprowadzanej do układu.</t>
  </si>
  <si>
    <t>Procentowy udział wody odprowadzanej z układu w celu kontroli zasolenia.</t>
  </si>
  <si>
    <t>Łączna moc wszystkich skraplaczy wyparnych pracujących w zakładzie.</t>
  </si>
  <si>
    <t>Ilość energii potrzebna do odparowania 1 kg wody.</t>
  </si>
  <si>
    <t>Ilość wody odparowującej podczas pracy skraplaczy.</t>
  </si>
  <si>
    <t>Ilość wody odprowadzanej z układu w celu kontroli zasolenia.</t>
  </si>
  <si>
    <t>Przewodność możliwa do utrzymania po wdrożeniu technologii.</t>
  </si>
  <si>
    <t>Udział odsalania po zwiększeniu dopuszczalnego zasolenia.</t>
  </si>
  <si>
    <t>Ilość odprowadzanej wody po wdrożeniu technologii.</t>
  </si>
  <si>
    <t>Roczna ilość odprowadzanej wody przed wdrożeniem.</t>
  </si>
  <si>
    <t>Roczna ilość odprowadzanej wody po wdrożeniu.</t>
  </si>
  <si>
    <t>Ilość odsolin, której można uniknąć po zwiększeniu dopuszczalnego zasolenia.</t>
  </si>
  <si>
    <t>Parametr wykorzystywany do przeliczeń masy i objętości.</t>
  </si>
  <si>
    <t>Łączna roczna oszczędność wynikająca z ograniczenia ilości odsolin oraz zużycia wody.</t>
  </si>
  <si>
    <t>Dodatkowe zużycie energii elektrycznej wynikające z pogorszenia wymiany ciepła przez warstwę osadu.</t>
  </si>
  <si>
    <t>Średni pobór mocy elektrycznej przez instalację chłodniczą.</t>
  </si>
  <si>
    <t>Dodatkowy pobór energii wynikający z obecności osadów na powierzchni wymiany ciepła.</t>
  </si>
  <si>
    <t>Ilość energii elektrycznej traconej w ciągu roku z powodu pogorszonej wymiany ciepła.</t>
  </si>
  <si>
    <t>Szacowany roczny koszt dodatkowo zużytej energii elektrycznej spowodowanej zakamienieniem.</t>
  </si>
  <si>
    <t>Zawartość soli w uzdatnionej wodzie uzupełniającej  stacja uzdatniania</t>
  </si>
  <si>
    <t>Zawartość soli w uzdatnionej wodzie uzupełniającej  odwócona osmoza</t>
  </si>
  <si>
    <t>Przewodność świeżej wody doprowadzanej do kotła po stacji zmiękczania wody</t>
  </si>
  <si>
    <t>Przewodność świeżej wody doprowadzanej do kotła po odwóconej osmozie</t>
  </si>
  <si>
    <t>Łączna liczba godzin pracy kotła w ciągu roku (365 dni × 24 h)</t>
  </si>
  <si>
    <t>Liczba godzin pracy kotła w skali roku (365 dni × 24 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</si>
</sst>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\ &quot;zł&quot;"/>
    <numFmt numFmtId="165" formatCode="_-* #,##0\ &quot;zł&quot;_-;\-* #,##0\ &quot;zł&quot;_-;_-* &quot;-&quot;??\ &quot;zł&quot;_-;_-@_-"/>
    <numFmt numFmtId="166" formatCode="#,##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FFFF"/>
      <name val="Calibri"/>
      <family val="2"/>
      <charset val="238"/>
    </font>
    <font>
      <b/>
      <sz val="11"/>
      <name val="Calibri"/>
      <family val="2"/>
      <charset val="238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4"/>
      <name val="Calibri"/>
      <family val="2"/>
      <charset val="238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77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/>
    <xf numFmtId="164" fontId="0" fillId="0" borderId="0" xfId="0" applyNumberFormat="1"/>
    <xf numFmtId="0" fontId="2" fillId="6" borderId="1" xfId="4" applyFill="1" applyBorder="1" applyAlignment="1">
      <alignment wrapText="1"/>
    </xf>
    <xf numFmtId="0" fontId="2" fillId="6" borderId="1" xfId="4" applyFill="1" applyBorder="1"/>
    <xf numFmtId="0" fontId="2" fillId="6" borderId="1" xfId="3" applyFill="1" applyBorder="1" applyAlignment="1">
      <alignment wrapText="1"/>
    </xf>
    <xf numFmtId="0" fontId="2" fillId="6" borderId="1" xfId="3" applyFill="1" applyBorder="1"/>
    <xf numFmtId="0" fontId="0" fillId="7" borderId="1" xfId="0" applyFill="1" applyBorder="1"/>
    <xf numFmtId="0" fontId="5" fillId="7" borderId="1" xfId="0" applyFont="1" applyFill="1" applyBorder="1"/>
    <xf numFmtId="0" fontId="0" fillId="6" borderId="1" xfId="0" applyFill="1" applyBorder="1"/>
    <xf numFmtId="0" fontId="5" fillId="6" borderId="1" xfId="0" applyFont="1" applyFill="1" applyBorder="1"/>
    <xf numFmtId="9" fontId="0" fillId="6" borderId="1" xfId="0" applyNumberFormat="1" applyFill="1" applyBorder="1"/>
    <xf numFmtId="2" fontId="0" fillId="6" borderId="1" xfId="0" applyNumberFormat="1" applyFill="1" applyBorder="1"/>
    <xf numFmtId="4" fontId="0" fillId="7" borderId="1" xfId="0" applyNumberFormat="1" applyFill="1" applyBorder="1"/>
    <xf numFmtId="0" fontId="13" fillId="0" borderId="0" xfId="0" applyFont="1"/>
    <xf numFmtId="4" fontId="0" fillId="6" borderId="1" xfId="0" applyNumberFormat="1" applyFill="1" applyBorder="1"/>
    <xf numFmtId="0" fontId="14" fillId="8" borderId="1" xfId="0" applyFont="1" applyFill="1" applyBorder="1"/>
    <xf numFmtId="4" fontId="15" fillId="8" borderId="1" xfId="0" applyNumberFormat="1" applyFont="1" applyFill="1" applyBorder="1"/>
    <xf numFmtId="4" fontId="2" fillId="6" borderId="1" xfId="4" applyNumberFormat="1" applyFill="1" applyBorder="1"/>
    <xf numFmtId="4" fontId="2" fillId="6" borderId="1" xfId="3" applyNumberFormat="1" applyFill="1" applyBorder="1"/>
    <xf numFmtId="0" fontId="2" fillId="7" borderId="1" xfId="4" applyFill="1" applyBorder="1" applyAlignment="1">
      <alignment wrapText="1"/>
    </xf>
    <xf numFmtId="4" fontId="2" fillId="7" borderId="1" xfId="4" applyNumberFormat="1" applyFill="1" applyBorder="1"/>
    <xf numFmtId="0" fontId="2" fillId="7" borderId="1" xfId="4" applyFill="1" applyBorder="1"/>
    <xf numFmtId="4" fontId="1" fillId="6" borderId="1" xfId="1" applyNumberFormat="1" applyFont="1" applyFill="1" applyBorder="1"/>
    <xf numFmtId="0" fontId="12" fillId="8" borderId="1" xfId="2" applyFont="1" applyFill="1" applyBorder="1" applyAlignment="1">
      <alignment vertical="center" wrapText="1"/>
    </xf>
    <xf numFmtId="4" fontId="12" fillId="8" borderId="1" xfId="2" applyNumberFormat="1" applyFont="1" applyFill="1" applyBorder="1" applyAlignment="1">
      <alignment vertical="center"/>
    </xf>
    <xf numFmtId="0" fontId="12" fillId="8" borderId="1" xfId="2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1" fillId="6" borderId="1" xfId="4" applyFont="1" applyFill="1" applyBorder="1" applyAlignment="1">
      <alignment wrapText="1"/>
    </xf>
    <xf numFmtId="0" fontId="12" fillId="8" borderId="1" xfId="0" applyFont="1" applyFill="1" applyBorder="1"/>
    <xf numFmtId="4" fontId="12" fillId="8" borderId="1" xfId="0" applyNumberFormat="1" applyFont="1" applyFill="1" applyBorder="1"/>
    <xf numFmtId="0" fontId="12" fillId="8" borderId="1" xfId="0" applyFont="1" applyFill="1" applyBorder="1" applyAlignment="1">
      <alignment wrapText="1"/>
    </xf>
    <xf numFmtId="0" fontId="18" fillId="8" borderId="1" xfId="2" applyFont="1" applyFill="1" applyBorder="1" applyAlignment="1">
      <alignment horizontal="left" vertical="center" wrapText="1"/>
    </xf>
    <xf numFmtId="165" fontId="18" fillId="8" borderId="1" xfId="2" applyNumberFormat="1" applyFont="1" applyFill="1" applyBorder="1" applyAlignment="1">
      <alignment horizontal="left" vertical="center"/>
    </xf>
    <xf numFmtId="0" fontId="18" fillId="8" borderId="1" xfId="2" applyFont="1" applyFill="1" applyBorder="1" applyAlignment="1">
      <alignment horizontal="left" vertical="center"/>
    </xf>
    <xf numFmtId="0" fontId="12" fillId="8" borderId="1" xfId="0" applyFont="1" applyFill="1" applyBorder="1" applyAlignment="1">
      <alignment vertical="center" wrapText="1"/>
    </xf>
    <xf numFmtId="2" fontId="0" fillId="6" borderId="1" xfId="0" applyNumberFormat="1" applyFill="1" applyBorder="1" applyAlignment="1">
      <alignment vertical="center"/>
    </xf>
    <xf numFmtId="3" fontId="2" fillId="6" borderId="1" xfId="1" applyNumberFormat="1" applyFont="1" applyFill="1" applyBorder="1" applyAlignment="1">
      <alignment horizontal="right"/>
    </xf>
    <xf numFmtId="3" fontId="2" fillId="6" borderId="1" xfId="4" applyNumberFormat="1" applyFill="1" applyBorder="1" applyAlignment="1">
      <alignment horizontal="right"/>
    </xf>
    <xf numFmtId="166" fontId="2" fillId="6" borderId="1" xfId="3" applyNumberForma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" fillId="6" borderId="1" xfId="3" applyNumberFormat="1" applyFill="1" applyBorder="1" applyAlignment="1">
      <alignment horizontal="right"/>
    </xf>
    <xf numFmtId="3" fontId="0" fillId="7" borderId="1" xfId="0" applyNumberFormat="1" applyFill="1" applyBorder="1" applyAlignment="1">
      <alignment horizontal="right"/>
    </xf>
    <xf numFmtId="166" fontId="2" fillId="6" borderId="1" xfId="1" applyNumberFormat="1" applyFont="1" applyFill="1" applyBorder="1" applyAlignment="1">
      <alignment horizontal="right"/>
    </xf>
    <xf numFmtId="4" fontId="2" fillId="7" borderId="1" xfId="4" applyNumberFormat="1" applyFill="1" applyBorder="1" applyAlignment="1">
      <alignment horizontal="right"/>
    </xf>
    <xf numFmtId="4" fontId="17" fillId="9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right"/>
    </xf>
    <xf numFmtId="164" fontId="17" fillId="9" borderId="1" xfId="0" applyNumberFormat="1" applyFont="1" applyFill="1" applyBorder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left" vertical="center"/>
    </xf>
    <xf numFmtId="4" fontId="2" fillId="10" borderId="1" xfId="4" applyNumberFormat="1" applyFill="1" applyBorder="1"/>
  </cellXfs>
  <cellStyles count="5">
    <cellStyle name="20% — akcent 2" xfId="3" builtinId="34"/>
    <cellStyle name="60% — akcent 2" xfId="4" builtinId="36"/>
    <cellStyle name="Akcent 2" xfId="2" builtinId="33"/>
    <cellStyle name="Dziesiętny" xfId="1" builtinId="3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zoomScale="70" zoomScaleNormal="70" workbookViewId="0">
      <selection activeCell="W16" sqref="W16"/>
    </sheetView>
  </sheetViews>
  <sheetFormatPr defaultRowHeight="15" x14ac:dyDescent="0.25"/>
  <cols>
    <col min="1" max="3" width="45" customWidth="1"/>
    <col min="4" max="4" width="18.28515625" bestFit="1" customWidth="1"/>
    <col min="11" max="11" width="19.85546875" customWidth="1"/>
    <col min="12" max="12" width="18" customWidth="1"/>
    <col min="13" max="13" width="16.7109375" customWidth="1"/>
  </cols>
  <sheetData>
    <row r="1" spans="1:18" ht="54.75" customHeight="1" x14ac:dyDescent="0.25">
      <c r="A1" s="54" t="s">
        <v>95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x14ac:dyDescent="0.25">
      <c r="A2" s="4" t="s">
        <v>0</v>
      </c>
      <c r="B2" s="4" t="s">
        <v>1</v>
      </c>
      <c r="C2" s="4" t="s">
        <v>2</v>
      </c>
      <c r="D2" s="70" t="s">
        <v>41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2"/>
    </row>
    <row r="3" spans="1:18" x14ac:dyDescent="0.25">
      <c r="A3" s="10" t="s">
        <v>3</v>
      </c>
      <c r="B3" s="10">
        <v>1400</v>
      </c>
      <c r="C3" s="10" t="s">
        <v>4</v>
      </c>
      <c r="D3" s="59" t="s">
        <v>42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</row>
    <row r="4" spans="1:18" ht="30" customHeight="1" x14ac:dyDescent="0.25">
      <c r="A4" s="53" t="s">
        <v>5</v>
      </c>
      <c r="B4" s="43">
        <v>4</v>
      </c>
      <c r="C4" s="53" t="s">
        <v>6</v>
      </c>
      <c r="D4" s="74" t="s">
        <v>43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x14ac:dyDescent="0.25">
      <c r="A5" s="10" t="s">
        <v>7</v>
      </c>
      <c r="B5" s="10">
        <v>8760</v>
      </c>
      <c r="C5" s="10" t="s">
        <v>8</v>
      </c>
      <c r="D5" s="59" t="s">
        <v>38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</row>
    <row r="6" spans="1:18" ht="15" customHeight="1" x14ac:dyDescent="0.25">
      <c r="A6" s="10" t="s">
        <v>9</v>
      </c>
      <c r="B6" s="10">
        <v>425</v>
      </c>
      <c r="C6" s="10" t="s">
        <v>10</v>
      </c>
      <c r="D6" s="59" t="s">
        <v>23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</row>
    <row r="7" spans="1:18" ht="15" customHeight="1" x14ac:dyDescent="0.25">
      <c r="A7" s="10" t="s">
        <v>11</v>
      </c>
      <c r="B7" s="10">
        <v>20</v>
      </c>
      <c r="C7" s="10" t="s">
        <v>12</v>
      </c>
      <c r="D7" s="73" t="s">
        <v>39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</row>
    <row r="8" spans="1:18" x14ac:dyDescent="0.25">
      <c r="A8" s="10" t="s">
        <v>13</v>
      </c>
      <c r="B8" s="11">
        <v>22</v>
      </c>
      <c r="C8" s="10" t="s">
        <v>12</v>
      </c>
      <c r="D8" s="59" t="s">
        <v>40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</row>
    <row r="9" spans="1:18" x14ac:dyDescent="0.25">
      <c r="A9" s="12" t="s">
        <v>14</v>
      </c>
      <c r="B9" s="13">
        <f>(B8-B7)/2</f>
        <v>1</v>
      </c>
      <c r="C9" s="12" t="s">
        <v>12</v>
      </c>
      <c r="D9" s="58" t="s">
        <v>24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</row>
    <row r="10" spans="1:18" x14ac:dyDescent="0.25">
      <c r="A10" s="12" t="s">
        <v>36</v>
      </c>
      <c r="B10" s="14">
        <f>VLOOKUP(B9,$A$40:$B$89,2,TRUE)</f>
        <v>0.22</v>
      </c>
      <c r="C10" s="12"/>
      <c r="D10" s="60" t="s">
        <v>141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2"/>
    </row>
    <row r="11" spans="1:18" x14ac:dyDescent="0.25">
      <c r="A11" s="12" t="s">
        <v>16</v>
      </c>
      <c r="B11" s="15">
        <f>B3/B4</f>
        <v>350</v>
      </c>
      <c r="C11" s="12" t="s">
        <v>4</v>
      </c>
      <c r="D11" s="60" t="s">
        <v>142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2"/>
    </row>
    <row r="12" spans="1:18" x14ac:dyDescent="0.25">
      <c r="A12" s="12" t="s">
        <v>17</v>
      </c>
      <c r="B12" s="15">
        <f>B11*B10</f>
        <v>77</v>
      </c>
      <c r="C12" s="12" t="s">
        <v>4</v>
      </c>
      <c r="D12" s="60" t="s">
        <v>143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2"/>
    </row>
    <row r="13" spans="1:18" x14ac:dyDescent="0.25">
      <c r="A13" s="19" t="s">
        <v>18</v>
      </c>
      <c r="B13" s="20">
        <f>B12*B5</f>
        <v>674520</v>
      </c>
      <c r="C13" s="19" t="s">
        <v>19</v>
      </c>
      <c r="D13" s="63" t="s">
        <v>144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5"/>
    </row>
    <row r="14" spans="1:18" x14ac:dyDescent="0.25">
      <c r="A14" s="19" t="s">
        <v>20</v>
      </c>
      <c r="B14" s="20">
        <f>(B13/1000)*B6</f>
        <v>286671</v>
      </c>
      <c r="C14" s="19" t="s">
        <v>44</v>
      </c>
      <c r="D14" s="63" t="s">
        <v>145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5"/>
    </row>
    <row r="15" spans="1:18" ht="65.25" customHeight="1" x14ac:dyDescent="0.25">
      <c r="A15" s="54" t="s">
        <v>96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</row>
    <row r="16" spans="1:18" ht="30" x14ac:dyDescent="0.25">
      <c r="A16" s="6" t="s">
        <v>45</v>
      </c>
      <c r="B16" s="44">
        <v>1800</v>
      </c>
      <c r="C16" s="7" t="s">
        <v>46</v>
      </c>
      <c r="D16" s="58" t="s">
        <v>125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</row>
    <row r="17" spans="1:18" x14ac:dyDescent="0.25">
      <c r="A17" s="8" t="s">
        <v>47</v>
      </c>
      <c r="B17" s="44">
        <v>95</v>
      </c>
      <c r="C17" s="9" t="s">
        <v>48</v>
      </c>
      <c r="D17" s="58" t="s">
        <v>126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</row>
    <row r="18" spans="1:18" ht="30" x14ac:dyDescent="0.25">
      <c r="A18" s="6" t="s">
        <v>49</v>
      </c>
      <c r="B18" s="45">
        <v>500</v>
      </c>
      <c r="C18" s="7" t="s">
        <v>46</v>
      </c>
      <c r="D18" s="58" t="s">
        <v>127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</row>
    <row r="19" spans="1:18" x14ac:dyDescent="0.25">
      <c r="A19" s="8" t="s">
        <v>50</v>
      </c>
      <c r="B19" s="46">
        <f>1/(1+((B16/1.56-B18/1.56)/((1-B17/100)*B18/1.56)))</f>
        <v>1.8867924528301903E-2</v>
      </c>
      <c r="C19" s="9" t="s">
        <v>48</v>
      </c>
      <c r="D19" s="58" t="s">
        <v>128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</row>
    <row r="20" spans="1:18" x14ac:dyDescent="0.25">
      <c r="A20" s="23" t="s">
        <v>51</v>
      </c>
      <c r="B20" s="47">
        <v>15000</v>
      </c>
      <c r="C20" s="25" t="s">
        <v>4</v>
      </c>
      <c r="D20" s="59" t="s">
        <v>129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</row>
    <row r="21" spans="1:18" x14ac:dyDescent="0.25">
      <c r="A21" s="8" t="s">
        <v>52</v>
      </c>
      <c r="B21" s="48">
        <v>2426</v>
      </c>
      <c r="C21" s="9" t="s">
        <v>53</v>
      </c>
      <c r="D21" s="58" t="s">
        <v>130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</row>
    <row r="22" spans="1:18" x14ac:dyDescent="0.25">
      <c r="A22" s="8" t="s">
        <v>54</v>
      </c>
      <c r="B22" s="46">
        <f>B20*3600/B21/B33</f>
        <v>22.325839844347552</v>
      </c>
      <c r="C22" s="9" t="s">
        <v>55</v>
      </c>
      <c r="D22" s="58" t="s">
        <v>131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</row>
    <row r="23" spans="1:18" x14ac:dyDescent="0.25">
      <c r="A23" s="8" t="s">
        <v>56</v>
      </c>
      <c r="B23" s="46">
        <f>B22*B19</f>
        <v>0.42124226121410513</v>
      </c>
      <c r="C23" s="9" t="s">
        <v>57</v>
      </c>
      <c r="D23" s="58" t="s">
        <v>132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</row>
    <row r="24" spans="1:18" x14ac:dyDescent="0.25">
      <c r="A24" s="6" t="s">
        <v>58</v>
      </c>
      <c r="B24" s="44">
        <v>4000</v>
      </c>
      <c r="C24" s="7" t="s">
        <v>46</v>
      </c>
      <c r="D24" s="58" t="s">
        <v>133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</row>
    <row r="25" spans="1:18" x14ac:dyDescent="0.25">
      <c r="A25" s="8" t="s">
        <v>59</v>
      </c>
      <c r="B25" s="46">
        <f>1/(1+((B24/1.56-B18/1.56)/((1-B17/100)*B18/1.56)))</f>
        <v>7.0921985815602896E-3</v>
      </c>
      <c r="C25" s="9" t="s">
        <v>48</v>
      </c>
      <c r="D25" s="58" t="s">
        <v>134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</row>
    <row r="26" spans="1:18" x14ac:dyDescent="0.25">
      <c r="A26" s="8" t="s">
        <v>56</v>
      </c>
      <c r="B26" s="46">
        <f>B22*B25</f>
        <v>0.1583392896762239</v>
      </c>
      <c r="C26" s="9" t="s">
        <v>57</v>
      </c>
      <c r="D26" s="58" t="s">
        <v>135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</row>
    <row r="27" spans="1:18" x14ac:dyDescent="0.25">
      <c r="A27" s="23" t="s">
        <v>60</v>
      </c>
      <c r="B27" s="49">
        <f>B5</f>
        <v>8760</v>
      </c>
      <c r="C27" s="25" t="s">
        <v>8</v>
      </c>
      <c r="D27" s="59" t="s">
        <v>38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</row>
    <row r="28" spans="1:18" x14ac:dyDescent="0.25">
      <c r="A28" s="8" t="s">
        <v>61</v>
      </c>
      <c r="B28" s="50">
        <f>B27*B23</f>
        <v>3690.0822082355608</v>
      </c>
      <c r="C28" s="9" t="s">
        <v>62</v>
      </c>
      <c r="D28" s="58" t="s">
        <v>136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</row>
    <row r="29" spans="1:18" x14ac:dyDescent="0.25">
      <c r="A29" s="8" t="s">
        <v>63</v>
      </c>
      <c r="B29" s="50">
        <f>B27*B26</f>
        <v>1387.0521775637214</v>
      </c>
      <c r="C29" s="9" t="s">
        <v>62</v>
      </c>
      <c r="D29" s="58" t="s">
        <v>137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</row>
    <row r="30" spans="1:18" x14ac:dyDescent="0.25">
      <c r="A30" s="8" t="s">
        <v>64</v>
      </c>
      <c r="B30" s="50">
        <f>B28-B29</f>
        <v>2303.0300306718391</v>
      </c>
      <c r="C30" s="9" t="s">
        <v>62</v>
      </c>
      <c r="D30" s="58" t="s">
        <v>138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</row>
    <row r="31" spans="1:18" x14ac:dyDescent="0.25">
      <c r="A31" s="23" t="s">
        <v>65</v>
      </c>
      <c r="B31" s="51">
        <v>6</v>
      </c>
      <c r="C31" s="25" t="s">
        <v>66</v>
      </c>
      <c r="D31" s="59" t="s">
        <v>113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</row>
    <row r="32" spans="1:18" x14ac:dyDescent="0.25">
      <c r="A32" s="23" t="s">
        <v>67</v>
      </c>
      <c r="B32" s="51">
        <v>6</v>
      </c>
      <c r="C32" s="25" t="s">
        <v>66</v>
      </c>
      <c r="D32" s="59" t="s">
        <v>114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</row>
    <row r="33" spans="1:18" x14ac:dyDescent="0.25">
      <c r="A33" s="8" t="s">
        <v>68</v>
      </c>
      <c r="B33" s="48">
        <v>997</v>
      </c>
      <c r="C33" s="9" t="s">
        <v>69</v>
      </c>
      <c r="D33" s="58" t="s">
        <v>139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</row>
    <row r="34" spans="1:18" ht="31.5" customHeight="1" x14ac:dyDescent="0.25">
      <c r="A34" s="39" t="s">
        <v>71</v>
      </c>
      <c r="B34" s="40">
        <f>B30*(B31+B32)</f>
        <v>27636.360368062069</v>
      </c>
      <c r="C34" s="41" t="s">
        <v>70</v>
      </c>
      <c r="D34" s="75" t="s">
        <v>140</v>
      </c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</row>
    <row r="35" spans="1:18" ht="52.5" customHeight="1" x14ac:dyDescent="0.7">
      <c r="A35" s="66" t="s">
        <v>72</v>
      </c>
      <c r="B35" s="66"/>
      <c r="C35" s="66"/>
      <c r="D35" s="67">
        <f>SUM(B34,B14)</f>
        <v>314307.36036806204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</row>
    <row r="36" spans="1:18" x14ac:dyDescent="0.25">
      <c r="B36" s="5"/>
    </row>
    <row r="37" spans="1:18" x14ac:dyDescent="0.25">
      <c r="B37" s="5"/>
    </row>
    <row r="38" spans="1:18" x14ac:dyDescent="0.25">
      <c r="A38" s="56" t="s">
        <v>21</v>
      </c>
      <c r="B38" s="56"/>
    </row>
    <row r="39" spans="1:18" x14ac:dyDescent="0.25">
      <c r="A39" s="31" t="s">
        <v>22</v>
      </c>
      <c r="B39" s="31" t="s">
        <v>15</v>
      </c>
    </row>
    <row r="40" spans="1:18" x14ac:dyDescent="0.25">
      <c r="A40" s="30">
        <v>0.1</v>
      </c>
      <c r="B40" s="32">
        <v>0.03</v>
      </c>
    </row>
    <row r="41" spans="1:18" x14ac:dyDescent="0.25">
      <c r="A41" s="30">
        <v>0.2</v>
      </c>
      <c r="B41" s="32">
        <v>0.05</v>
      </c>
    </row>
    <row r="42" spans="1:18" x14ac:dyDescent="0.25">
      <c r="A42" s="30">
        <v>0.3</v>
      </c>
      <c r="B42" s="32">
        <v>7.0000000000000007E-2</v>
      </c>
    </row>
    <row r="43" spans="1:18" x14ac:dyDescent="0.25">
      <c r="A43" s="30">
        <v>0.4</v>
      </c>
      <c r="B43" s="32">
        <v>0.09</v>
      </c>
    </row>
    <row r="44" spans="1:18" x14ac:dyDescent="0.25">
      <c r="A44" s="30">
        <v>0.5</v>
      </c>
      <c r="B44" s="32">
        <v>0.12</v>
      </c>
      <c r="F44" s="68" t="s">
        <v>37</v>
      </c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</row>
    <row r="45" spans="1:18" x14ac:dyDescent="0.25">
      <c r="A45" s="30">
        <v>0.6</v>
      </c>
      <c r="B45" s="32">
        <v>0.14000000000000001</v>
      </c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</row>
    <row r="46" spans="1:18" x14ac:dyDescent="0.25">
      <c r="A46" s="30">
        <v>0.7</v>
      </c>
      <c r="B46" s="32">
        <v>0.16</v>
      </c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</row>
    <row r="47" spans="1:18" x14ac:dyDescent="0.25">
      <c r="A47" s="30">
        <v>0.8</v>
      </c>
      <c r="B47" s="32">
        <v>0.18</v>
      </c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</row>
    <row r="48" spans="1:18" x14ac:dyDescent="0.25">
      <c r="A48" s="30">
        <v>0.9</v>
      </c>
      <c r="B48" s="32">
        <v>0.2</v>
      </c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</row>
    <row r="49" spans="1:17" x14ac:dyDescent="0.25">
      <c r="A49" s="30">
        <v>1</v>
      </c>
      <c r="B49" s="32">
        <v>0.22</v>
      </c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</row>
    <row r="50" spans="1:17" x14ac:dyDescent="0.25">
      <c r="A50" s="30">
        <v>1.1000000000000001</v>
      </c>
      <c r="B50" s="32">
        <v>0.24</v>
      </c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</row>
    <row r="51" spans="1:17" x14ac:dyDescent="0.25">
      <c r="A51" s="30">
        <v>1.2</v>
      </c>
      <c r="B51" s="32">
        <v>0.26</v>
      </c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</row>
    <row r="52" spans="1:17" x14ac:dyDescent="0.25">
      <c r="A52" s="30">
        <v>1.3</v>
      </c>
      <c r="B52" s="32">
        <v>0.28000000000000003</v>
      </c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</row>
    <row r="53" spans="1:17" x14ac:dyDescent="0.25">
      <c r="A53" s="30">
        <v>1.4</v>
      </c>
      <c r="B53" s="32">
        <v>0.3</v>
      </c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</row>
    <row r="54" spans="1:17" x14ac:dyDescent="0.25">
      <c r="A54" s="30">
        <v>1.5</v>
      </c>
      <c r="B54" s="32">
        <v>0.32</v>
      </c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</row>
    <row r="55" spans="1:17" x14ac:dyDescent="0.25">
      <c r="A55" s="30">
        <v>1.6</v>
      </c>
      <c r="B55" s="32">
        <v>0.34</v>
      </c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</row>
    <row r="56" spans="1:17" x14ac:dyDescent="0.25">
      <c r="A56" s="30">
        <v>1.7</v>
      </c>
      <c r="B56" s="32">
        <v>0.36</v>
      </c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</row>
    <row r="57" spans="1:17" x14ac:dyDescent="0.25">
      <c r="A57" s="30">
        <v>1.8</v>
      </c>
      <c r="B57" s="32">
        <v>0.37</v>
      </c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</row>
    <row r="58" spans="1:17" x14ac:dyDescent="0.25">
      <c r="A58" s="30">
        <v>1.9</v>
      </c>
      <c r="B58" s="32">
        <v>0.39</v>
      </c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</row>
    <row r="59" spans="1:17" x14ac:dyDescent="0.25">
      <c r="A59" s="30">
        <v>2</v>
      </c>
      <c r="B59" s="32">
        <v>0.4</v>
      </c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</row>
    <row r="60" spans="1:17" x14ac:dyDescent="0.25">
      <c r="A60" s="30">
        <v>2.1</v>
      </c>
      <c r="B60" s="32">
        <v>0.43552631578947298</v>
      </c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</row>
    <row r="61" spans="1:17" x14ac:dyDescent="0.25">
      <c r="A61" s="30">
        <v>2.2000000000000002</v>
      </c>
      <c r="B61" s="32">
        <v>0.45548120300751799</v>
      </c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</row>
    <row r="62" spans="1:17" x14ac:dyDescent="0.25">
      <c r="A62" s="30">
        <v>2.2999999999999998</v>
      </c>
      <c r="B62" s="32">
        <v>0.47543609022556299</v>
      </c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</row>
    <row r="63" spans="1:17" x14ac:dyDescent="0.25">
      <c r="A63" s="30">
        <v>2.4</v>
      </c>
      <c r="B63" s="32">
        <v>0.49539097744360899</v>
      </c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</row>
    <row r="64" spans="1:17" x14ac:dyDescent="0.25">
      <c r="A64" s="30">
        <v>2.5</v>
      </c>
      <c r="B64" s="32">
        <v>0.515345864661654</v>
      </c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</row>
    <row r="65" spans="1:17" x14ac:dyDescent="0.25">
      <c r="A65" s="30">
        <v>2.6</v>
      </c>
      <c r="B65" s="32">
        <v>0.53530075187969905</v>
      </c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</row>
    <row r="66" spans="1:17" x14ac:dyDescent="0.25">
      <c r="A66" s="30">
        <v>2.7</v>
      </c>
      <c r="B66" s="32">
        <v>0.555255639097744</v>
      </c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</row>
    <row r="67" spans="1:17" x14ac:dyDescent="0.25">
      <c r="A67" s="30">
        <v>2.8</v>
      </c>
      <c r="B67" s="32">
        <v>0.57521052631578895</v>
      </c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</row>
    <row r="68" spans="1:17" x14ac:dyDescent="0.25">
      <c r="A68" s="30">
        <v>2.9</v>
      </c>
      <c r="B68" s="32">
        <v>0.59516541353383401</v>
      </c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</row>
    <row r="69" spans="1:17" x14ac:dyDescent="0.25">
      <c r="A69" s="30">
        <v>3</v>
      </c>
      <c r="B69" s="32">
        <v>0.61512030075187996</v>
      </c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</row>
    <row r="70" spans="1:17" x14ac:dyDescent="0.25">
      <c r="A70" s="30">
        <v>3.1</v>
      </c>
      <c r="B70" s="32">
        <v>0.63507518796992402</v>
      </c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</row>
    <row r="71" spans="1:17" x14ac:dyDescent="0.25">
      <c r="A71" s="30">
        <v>3.2</v>
      </c>
      <c r="B71" s="32">
        <v>0.65503007518796896</v>
      </c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</row>
    <row r="72" spans="1:17" x14ac:dyDescent="0.25">
      <c r="A72" s="30">
        <v>3.3</v>
      </c>
      <c r="B72" s="32">
        <v>0.67498496240601502</v>
      </c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</row>
    <row r="73" spans="1:17" x14ac:dyDescent="0.25">
      <c r="A73" s="30">
        <v>3.4</v>
      </c>
      <c r="B73" s="32">
        <v>0.69493984962405997</v>
      </c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</row>
    <row r="74" spans="1:17" x14ac:dyDescent="0.25">
      <c r="A74" s="30">
        <v>3.5</v>
      </c>
      <c r="B74" s="32">
        <v>0.71489473684210503</v>
      </c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</row>
    <row r="75" spans="1:17" x14ac:dyDescent="0.25">
      <c r="A75" s="30">
        <v>3.6</v>
      </c>
      <c r="B75" s="32">
        <v>0.73484962406015097</v>
      </c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</row>
    <row r="76" spans="1:17" ht="14.25" customHeight="1" x14ac:dyDescent="0.25">
      <c r="A76" s="30">
        <v>3.7</v>
      </c>
      <c r="B76" s="32">
        <v>0.75480451127819503</v>
      </c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</row>
    <row r="77" spans="1:17" x14ac:dyDescent="0.25">
      <c r="A77" s="30">
        <v>3.8</v>
      </c>
      <c r="B77" s="32">
        <v>0.77475939849623998</v>
      </c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</row>
    <row r="78" spans="1:17" x14ac:dyDescent="0.25">
      <c r="A78" s="30">
        <v>3.9</v>
      </c>
      <c r="B78" s="32">
        <v>0.79471428571428504</v>
      </c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</row>
    <row r="79" spans="1:17" x14ac:dyDescent="0.25">
      <c r="A79" s="30">
        <v>4</v>
      </c>
      <c r="B79" s="32">
        <v>0.81466917293232999</v>
      </c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</row>
    <row r="80" spans="1:17" x14ac:dyDescent="0.25">
      <c r="A80" s="30">
        <v>4.0999999999999996</v>
      </c>
      <c r="B80" s="32">
        <v>0.83462406015037505</v>
      </c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</row>
    <row r="81" spans="1:17" x14ac:dyDescent="0.25">
      <c r="A81" s="30">
        <v>4.2</v>
      </c>
      <c r="B81" s="32">
        <v>0.85457894736842099</v>
      </c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</row>
    <row r="82" spans="1:17" x14ac:dyDescent="0.25">
      <c r="A82" s="30">
        <v>4.3</v>
      </c>
      <c r="B82" s="32">
        <v>0.87453383458646605</v>
      </c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</row>
    <row r="83" spans="1:17" x14ac:dyDescent="0.25">
      <c r="A83" s="30">
        <v>4.4000000000000004</v>
      </c>
      <c r="B83" s="32">
        <v>0.894488721804511</v>
      </c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</row>
    <row r="84" spans="1:17" x14ac:dyDescent="0.25">
      <c r="A84" s="30">
        <v>4.5</v>
      </c>
      <c r="B84" s="32">
        <v>0.91444360902255695</v>
      </c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</row>
    <row r="85" spans="1:17" x14ac:dyDescent="0.25">
      <c r="A85" s="30">
        <v>4.5999999999999996</v>
      </c>
      <c r="B85" s="32">
        <v>0.93439849624060101</v>
      </c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</row>
    <row r="86" spans="1:17" x14ac:dyDescent="0.25">
      <c r="A86" s="30">
        <v>4.7</v>
      </c>
      <c r="B86" s="32">
        <v>0.95435338345864595</v>
      </c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</row>
    <row r="87" spans="1:17" x14ac:dyDescent="0.25">
      <c r="A87" s="30">
        <v>4.8</v>
      </c>
      <c r="B87" s="32">
        <v>0.97430827067669101</v>
      </c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</row>
    <row r="88" spans="1:17" x14ac:dyDescent="0.25">
      <c r="A88" s="30">
        <v>4.9000000000000004</v>
      </c>
      <c r="B88" s="32">
        <v>0.99426315789473696</v>
      </c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</row>
    <row r="89" spans="1:17" x14ac:dyDescent="0.25">
      <c r="A89" s="30">
        <v>5</v>
      </c>
      <c r="B89" s="32">
        <v>1</v>
      </c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</row>
    <row r="90" spans="1:17" x14ac:dyDescent="0.25"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</row>
    <row r="91" spans="1:17" ht="23.25" x14ac:dyDescent="0.25">
      <c r="A91" s="1" t="s">
        <v>25</v>
      </c>
    </row>
    <row r="93" spans="1:17" x14ac:dyDescent="0.25">
      <c r="A93" s="2" t="s">
        <v>26</v>
      </c>
      <c r="B93" s="2" t="s">
        <v>27</v>
      </c>
    </row>
    <row r="94" spans="1:17" x14ac:dyDescent="0.25">
      <c r="A94" s="3" t="s">
        <v>28</v>
      </c>
      <c r="B94" s="3" t="s">
        <v>29</v>
      </c>
    </row>
    <row r="95" spans="1:17" x14ac:dyDescent="0.25">
      <c r="A95" s="3" t="s">
        <v>30</v>
      </c>
      <c r="B95" s="3" t="s">
        <v>31</v>
      </c>
    </row>
    <row r="96" spans="1:17" x14ac:dyDescent="0.25">
      <c r="A96" s="3" t="s">
        <v>32</v>
      </c>
      <c r="B96" s="3" t="s">
        <v>33</v>
      </c>
    </row>
    <row r="97" spans="1:2" x14ac:dyDescent="0.25">
      <c r="A97" s="3" t="s">
        <v>34</v>
      </c>
      <c r="B97" s="3" t="s">
        <v>35</v>
      </c>
    </row>
  </sheetData>
  <mergeCells count="38">
    <mergeCell ref="F44:Q90"/>
    <mergeCell ref="D2:R2"/>
    <mergeCell ref="D5:R5"/>
    <mergeCell ref="D6:R6"/>
    <mergeCell ref="D7:R7"/>
    <mergeCell ref="D8:R8"/>
    <mergeCell ref="D9:R9"/>
    <mergeCell ref="D3:R3"/>
    <mergeCell ref="D4:R4"/>
    <mergeCell ref="D23:R23"/>
    <mergeCell ref="D24:R24"/>
    <mergeCell ref="D25:R25"/>
    <mergeCell ref="D26:R26"/>
    <mergeCell ref="D27:R27"/>
    <mergeCell ref="D34:R34"/>
    <mergeCell ref="D32:R32"/>
    <mergeCell ref="A38:B38"/>
    <mergeCell ref="D10:R10"/>
    <mergeCell ref="D11:R11"/>
    <mergeCell ref="D12:R12"/>
    <mergeCell ref="D13:R13"/>
    <mergeCell ref="D14:R14"/>
    <mergeCell ref="D16:R16"/>
    <mergeCell ref="D17:R17"/>
    <mergeCell ref="D18:R18"/>
    <mergeCell ref="D19:R19"/>
    <mergeCell ref="D20:R20"/>
    <mergeCell ref="D21:R21"/>
    <mergeCell ref="D22:R22"/>
    <mergeCell ref="A35:C35"/>
    <mergeCell ref="D35:R35"/>
    <mergeCell ref="D33:R33"/>
    <mergeCell ref="A1:R1"/>
    <mergeCell ref="D28:R28"/>
    <mergeCell ref="D29:R29"/>
    <mergeCell ref="D30:R30"/>
    <mergeCell ref="D31:R31"/>
    <mergeCell ref="A15:R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8F78-9188-452D-8521-8BDAC8E10CFB}">
  <dimension ref="A1:F121"/>
  <sheetViews>
    <sheetView tabSelected="1" topLeftCell="B1" zoomScale="85" zoomScaleNormal="85" workbookViewId="0">
      <selection activeCell="F20" sqref="F20"/>
    </sheetView>
  </sheetViews>
  <sheetFormatPr defaultRowHeight="15" x14ac:dyDescent="0.25"/>
  <cols>
    <col min="1" max="1" width="78.28515625" customWidth="1"/>
    <col min="2" max="2" width="16.5703125" customWidth="1"/>
    <col min="3" max="3" width="10" bestFit="1" customWidth="1"/>
    <col min="4" max="4" width="94.7109375" customWidth="1"/>
    <col min="6" max="6" width="126" bestFit="1" customWidth="1"/>
  </cols>
  <sheetData>
    <row r="1" spans="1:6" ht="70.5" customHeight="1" x14ac:dyDescent="0.25">
      <c r="A1" s="54" t="s">
        <v>95</v>
      </c>
      <c r="B1" s="54"/>
      <c r="C1" s="54"/>
      <c r="D1" s="54"/>
    </row>
    <row r="2" spans="1:6" x14ac:dyDescent="0.25">
      <c r="A2" s="4" t="s">
        <v>0</v>
      </c>
      <c r="B2" s="4" t="s">
        <v>1</v>
      </c>
      <c r="C2" s="4" t="s">
        <v>2</v>
      </c>
      <c r="D2" s="4" t="s">
        <v>73</v>
      </c>
    </row>
    <row r="3" spans="1:6" ht="18.75" x14ac:dyDescent="0.3">
      <c r="A3" s="10" t="s">
        <v>74</v>
      </c>
      <c r="B3" s="16">
        <v>2500</v>
      </c>
      <c r="C3" s="10" t="s">
        <v>4</v>
      </c>
      <c r="D3" s="33" t="s">
        <v>118</v>
      </c>
      <c r="F3" s="17"/>
    </row>
    <row r="4" spans="1:6" x14ac:dyDescent="0.25">
      <c r="A4" s="10" t="s">
        <v>7</v>
      </c>
      <c r="B4" s="16">
        <v>8760</v>
      </c>
      <c r="C4" s="10" t="s">
        <v>8</v>
      </c>
      <c r="D4" s="33" t="s">
        <v>150</v>
      </c>
    </row>
    <row r="5" spans="1:6" x14ac:dyDescent="0.25">
      <c r="A5" s="10" t="s">
        <v>75</v>
      </c>
      <c r="B5" s="16">
        <v>425</v>
      </c>
      <c r="C5" s="10" t="s">
        <v>10</v>
      </c>
      <c r="D5" s="33" t="s">
        <v>119</v>
      </c>
    </row>
    <row r="6" spans="1:6" x14ac:dyDescent="0.25">
      <c r="A6" s="10" t="s">
        <v>76</v>
      </c>
      <c r="B6" s="16">
        <v>0.2</v>
      </c>
      <c r="C6" s="10" t="s">
        <v>12</v>
      </c>
      <c r="D6" s="33" t="s">
        <v>120</v>
      </c>
    </row>
    <row r="7" spans="1:6" x14ac:dyDescent="0.25">
      <c r="A7" s="12" t="s">
        <v>77</v>
      </c>
      <c r="B7" s="18">
        <f>VLOOKUP(B6,$A$41:$B$121,2,TRUE)</f>
        <v>0.03</v>
      </c>
      <c r="C7" s="12" t="s">
        <v>48</v>
      </c>
      <c r="D7" s="34" t="s">
        <v>121</v>
      </c>
    </row>
    <row r="8" spans="1:6" x14ac:dyDescent="0.25">
      <c r="A8" s="12" t="s">
        <v>78</v>
      </c>
      <c r="B8" s="18">
        <f>B3*B4/1000</f>
        <v>21900</v>
      </c>
      <c r="C8" s="12" t="s">
        <v>79</v>
      </c>
      <c r="D8" s="34" t="s">
        <v>122</v>
      </c>
    </row>
    <row r="9" spans="1:6" x14ac:dyDescent="0.25">
      <c r="A9" s="12" t="s">
        <v>18</v>
      </c>
      <c r="B9" s="18">
        <f>B8*B7</f>
        <v>657</v>
      </c>
      <c r="C9" s="12" t="s">
        <v>79</v>
      </c>
      <c r="D9" s="34" t="s">
        <v>123</v>
      </c>
    </row>
    <row r="10" spans="1:6" x14ac:dyDescent="0.25">
      <c r="A10" s="36" t="s">
        <v>80</v>
      </c>
      <c r="B10" s="37">
        <f>B9*B5</f>
        <v>279225</v>
      </c>
      <c r="C10" s="36" t="s">
        <v>81</v>
      </c>
      <c r="D10" s="38" t="s">
        <v>124</v>
      </c>
    </row>
    <row r="11" spans="1:6" x14ac:dyDescent="0.25">
      <c r="A11" s="54" t="s">
        <v>96</v>
      </c>
      <c r="B11" s="54"/>
      <c r="C11" s="54"/>
      <c r="D11" s="54"/>
    </row>
    <row r="12" spans="1:6" ht="38.25" customHeight="1" x14ac:dyDescent="0.25">
      <c r="A12" s="54"/>
      <c r="B12" s="54"/>
      <c r="C12" s="54"/>
      <c r="D12" s="54"/>
    </row>
    <row r="13" spans="1:6" x14ac:dyDescent="0.25">
      <c r="A13" s="35" t="s">
        <v>82</v>
      </c>
      <c r="B13" s="21">
        <v>1500</v>
      </c>
      <c r="C13" s="7" t="s">
        <v>46</v>
      </c>
      <c r="D13" s="34" t="s">
        <v>97</v>
      </c>
    </row>
    <row r="14" spans="1:6" x14ac:dyDescent="0.25">
      <c r="A14" s="6" t="s">
        <v>83</v>
      </c>
      <c r="B14" s="76">
        <v>70</v>
      </c>
      <c r="C14" s="7" t="s">
        <v>48</v>
      </c>
      <c r="D14" s="34" t="s">
        <v>98</v>
      </c>
    </row>
    <row r="15" spans="1:6" x14ac:dyDescent="0.25">
      <c r="A15" s="35" t="s">
        <v>147</v>
      </c>
      <c r="B15" s="76">
        <v>30</v>
      </c>
      <c r="C15" s="7" t="s">
        <v>46</v>
      </c>
      <c r="D15" s="34" t="s">
        <v>149</v>
      </c>
      <c r="F15" s="57"/>
    </row>
    <row r="16" spans="1:6" x14ac:dyDescent="0.25">
      <c r="A16" s="35" t="s">
        <v>146</v>
      </c>
      <c r="B16" s="76">
        <v>0</v>
      </c>
      <c r="C16" s="7" t="s">
        <v>46</v>
      </c>
      <c r="D16" s="34" t="s">
        <v>148</v>
      </c>
      <c r="F16" s="57"/>
    </row>
    <row r="17" spans="1:6" x14ac:dyDescent="0.25">
      <c r="A17" s="8" t="s">
        <v>50</v>
      </c>
      <c r="B17" s="22">
        <f>1/(1+((B13/1.56-(B15+B16)/1.56)/((1-B14/100)*(B15+B16)/1.56)))</f>
        <v>6.0851926977687635E-3</v>
      </c>
      <c r="C17" s="9" t="s">
        <v>48</v>
      </c>
      <c r="D17" s="34" t="s">
        <v>99</v>
      </c>
      <c r="F17" s="57"/>
    </row>
    <row r="18" spans="1:6" x14ac:dyDescent="0.25">
      <c r="A18" s="23" t="s">
        <v>84</v>
      </c>
      <c r="B18" s="24">
        <v>20</v>
      </c>
      <c r="C18" s="25" t="s">
        <v>57</v>
      </c>
      <c r="D18" s="33" t="s">
        <v>100</v>
      </c>
    </row>
    <row r="19" spans="1:6" x14ac:dyDescent="0.25">
      <c r="A19" s="8" t="s">
        <v>56</v>
      </c>
      <c r="B19" s="22">
        <f>B18*B17</f>
        <v>0.12170385395537527</v>
      </c>
      <c r="C19" s="9" t="s">
        <v>57</v>
      </c>
      <c r="D19" s="34" t="s">
        <v>101</v>
      </c>
    </row>
    <row r="20" spans="1:6" x14ac:dyDescent="0.25">
      <c r="A20" s="6" t="s">
        <v>58</v>
      </c>
      <c r="B20" s="21">
        <v>3500</v>
      </c>
      <c r="C20" s="7" t="s">
        <v>46</v>
      </c>
      <c r="D20" s="34" t="s">
        <v>102</v>
      </c>
    </row>
    <row r="21" spans="1:6" x14ac:dyDescent="0.25">
      <c r="A21" s="8" t="s">
        <v>59</v>
      </c>
      <c r="B21" s="22">
        <f>1/(1+((B20/1.56-B15/1.56)/((1-B14/100)*B15/1.56)))</f>
        <v>2.5869502730669733E-3</v>
      </c>
      <c r="C21" s="9" t="s">
        <v>48</v>
      </c>
      <c r="D21" s="34" t="s">
        <v>103</v>
      </c>
    </row>
    <row r="22" spans="1:6" x14ac:dyDescent="0.25">
      <c r="A22" s="8" t="s">
        <v>56</v>
      </c>
      <c r="B22" s="22">
        <f>B18*B21</f>
        <v>5.1739005461339464E-2</v>
      </c>
      <c r="C22" s="9" t="s">
        <v>57</v>
      </c>
      <c r="D22" s="34" t="s">
        <v>104</v>
      </c>
    </row>
    <row r="23" spans="1:6" x14ac:dyDescent="0.25">
      <c r="A23" s="23" t="s">
        <v>60</v>
      </c>
      <c r="B23" s="16">
        <f>B4</f>
        <v>8760</v>
      </c>
      <c r="C23" s="25" t="s">
        <v>8</v>
      </c>
      <c r="D23" s="33" t="s">
        <v>151</v>
      </c>
    </row>
    <row r="24" spans="1:6" x14ac:dyDescent="0.25">
      <c r="A24" s="8" t="s">
        <v>61</v>
      </c>
      <c r="B24" s="22">
        <f>B23*B19</f>
        <v>1066.1257606490874</v>
      </c>
      <c r="C24" s="9" t="s">
        <v>62</v>
      </c>
      <c r="D24" s="34" t="s">
        <v>105</v>
      </c>
    </row>
    <row r="25" spans="1:6" x14ac:dyDescent="0.25">
      <c r="A25" s="8" t="s">
        <v>63</v>
      </c>
      <c r="B25" s="22">
        <f>B23*B22</f>
        <v>453.23368784133373</v>
      </c>
      <c r="C25" s="9" t="s">
        <v>62</v>
      </c>
      <c r="D25" s="34" t="s">
        <v>106</v>
      </c>
    </row>
    <row r="26" spans="1:6" x14ac:dyDescent="0.25">
      <c r="A26" s="8" t="s">
        <v>64</v>
      </c>
      <c r="B26" s="22">
        <f>B24-B25</f>
        <v>612.89207280775372</v>
      </c>
      <c r="C26" s="9" t="s">
        <v>62</v>
      </c>
      <c r="D26" s="34" t="s">
        <v>107</v>
      </c>
    </row>
    <row r="27" spans="1:6" x14ac:dyDescent="0.25">
      <c r="A27" s="6" t="s">
        <v>85</v>
      </c>
      <c r="B27" s="21">
        <v>721</v>
      </c>
      <c r="C27" s="7" t="s">
        <v>53</v>
      </c>
      <c r="D27" s="34" t="s">
        <v>108</v>
      </c>
    </row>
    <row r="28" spans="1:6" x14ac:dyDescent="0.25">
      <c r="A28" s="8" t="s">
        <v>86</v>
      </c>
      <c r="B28" s="26">
        <f>B26*B27/3600*1000</f>
        <v>122748.66235955289</v>
      </c>
      <c r="C28" s="9" t="s">
        <v>19</v>
      </c>
      <c r="D28" s="34" t="s">
        <v>109</v>
      </c>
    </row>
    <row r="29" spans="1:6" x14ac:dyDescent="0.25">
      <c r="A29" s="23" t="s">
        <v>87</v>
      </c>
      <c r="B29" s="24">
        <v>0.94</v>
      </c>
      <c r="C29" s="25" t="s">
        <v>48</v>
      </c>
      <c r="D29" s="33" t="s">
        <v>110</v>
      </c>
    </row>
    <row r="30" spans="1:6" x14ac:dyDescent="0.25">
      <c r="A30" s="23" t="s">
        <v>75</v>
      </c>
      <c r="B30" s="24">
        <v>425.4</v>
      </c>
      <c r="C30" s="25" t="s">
        <v>10</v>
      </c>
      <c r="D30" s="33" t="s">
        <v>111</v>
      </c>
    </row>
    <row r="31" spans="1:6" x14ac:dyDescent="0.25">
      <c r="A31" s="8" t="s">
        <v>88</v>
      </c>
      <c r="B31" s="22">
        <f>B28/B29/1000*B30</f>
        <v>55550.298901865746</v>
      </c>
      <c r="C31" s="9" t="s">
        <v>89</v>
      </c>
      <c r="D31" s="34" t="s">
        <v>112</v>
      </c>
    </row>
    <row r="32" spans="1:6" x14ac:dyDescent="0.25">
      <c r="A32" s="23" t="s">
        <v>65</v>
      </c>
      <c r="B32" s="24">
        <v>6</v>
      </c>
      <c r="C32" s="25" t="s">
        <v>66</v>
      </c>
      <c r="D32" s="33" t="s">
        <v>113</v>
      </c>
    </row>
    <row r="33" spans="1:4" x14ac:dyDescent="0.25">
      <c r="A33" s="23" t="s">
        <v>90</v>
      </c>
      <c r="B33" s="24">
        <v>6</v>
      </c>
      <c r="C33" s="25" t="s">
        <v>66</v>
      </c>
      <c r="D33" s="33" t="s">
        <v>114</v>
      </c>
    </row>
    <row r="34" spans="1:4" x14ac:dyDescent="0.25">
      <c r="A34" s="8" t="s">
        <v>91</v>
      </c>
      <c r="B34" s="22">
        <v>997</v>
      </c>
      <c r="C34" s="9" t="s">
        <v>69</v>
      </c>
      <c r="D34" s="34" t="s">
        <v>115</v>
      </c>
    </row>
    <row r="35" spans="1:4" x14ac:dyDescent="0.25">
      <c r="A35" s="8" t="s">
        <v>92</v>
      </c>
      <c r="B35" s="22">
        <f>B26*B34/1000*(B32+B33)</f>
        <v>7332.6407590719664</v>
      </c>
      <c r="C35" s="9" t="s">
        <v>89</v>
      </c>
      <c r="D35" s="34" t="s">
        <v>116</v>
      </c>
    </row>
    <row r="36" spans="1:4" ht="30" x14ac:dyDescent="0.25">
      <c r="A36" s="27" t="s">
        <v>93</v>
      </c>
      <c r="B36" s="28">
        <f>B35+B31</f>
        <v>62882.939660937715</v>
      </c>
      <c r="C36" s="29" t="s">
        <v>70</v>
      </c>
      <c r="D36" s="42" t="s">
        <v>117</v>
      </c>
    </row>
    <row r="37" spans="1:4" ht="46.5" x14ac:dyDescent="0.7">
      <c r="A37" s="55" t="s">
        <v>72</v>
      </c>
      <c r="B37" s="55"/>
      <c r="C37" s="55"/>
      <c r="D37" s="52">
        <f>SUM(B36,B10)</f>
        <v>342107.9396609377</v>
      </c>
    </row>
    <row r="39" spans="1:4" x14ac:dyDescent="0.25">
      <c r="A39" s="56" t="s">
        <v>94</v>
      </c>
      <c r="B39" s="56"/>
    </row>
    <row r="40" spans="1:4" x14ac:dyDescent="0.25">
      <c r="A40" s="31" t="s">
        <v>22</v>
      </c>
      <c r="B40" s="31" t="s">
        <v>15</v>
      </c>
    </row>
    <row r="41" spans="1:4" x14ac:dyDescent="0.25">
      <c r="A41" s="30">
        <v>0.1</v>
      </c>
      <c r="B41" s="32">
        <v>0.02</v>
      </c>
    </row>
    <row r="42" spans="1:4" x14ac:dyDescent="0.25">
      <c r="A42" s="30">
        <v>0.2</v>
      </c>
      <c r="B42" s="32">
        <v>0.03</v>
      </c>
    </row>
    <row r="43" spans="1:4" x14ac:dyDescent="0.25">
      <c r="A43" s="30">
        <v>0.3</v>
      </c>
      <c r="B43" s="32">
        <v>0.05</v>
      </c>
    </row>
    <row r="44" spans="1:4" x14ac:dyDescent="0.25">
      <c r="A44" s="30">
        <v>0.4</v>
      </c>
      <c r="B44" s="32">
        <v>0.06</v>
      </c>
    </row>
    <row r="45" spans="1:4" x14ac:dyDescent="0.25">
      <c r="A45" s="30">
        <v>0.5</v>
      </c>
      <c r="B45" s="32">
        <v>0.08</v>
      </c>
    </row>
    <row r="46" spans="1:4" x14ac:dyDescent="0.25">
      <c r="A46" s="30">
        <v>0.6</v>
      </c>
      <c r="B46" s="32">
        <v>0.09</v>
      </c>
    </row>
    <row r="47" spans="1:4" x14ac:dyDescent="0.25">
      <c r="A47" s="30">
        <v>0.7</v>
      </c>
      <c r="B47" s="32">
        <v>0.11</v>
      </c>
    </row>
    <row r="48" spans="1:4" x14ac:dyDescent="0.25">
      <c r="A48" s="30">
        <v>0.8</v>
      </c>
      <c r="B48" s="32">
        <v>0.12</v>
      </c>
    </row>
    <row r="49" spans="1:2" x14ac:dyDescent="0.25">
      <c r="A49" s="30">
        <v>0.9</v>
      </c>
      <c r="B49" s="32">
        <v>0.14000000000000001</v>
      </c>
    </row>
    <row r="50" spans="1:2" x14ac:dyDescent="0.25">
      <c r="A50" s="30">
        <v>1</v>
      </c>
      <c r="B50" s="32">
        <v>0.15</v>
      </c>
    </row>
    <row r="51" spans="1:2" x14ac:dyDescent="0.25">
      <c r="A51" s="30">
        <v>1.1000000000000001</v>
      </c>
      <c r="B51" s="32">
        <v>0.16</v>
      </c>
    </row>
    <row r="52" spans="1:2" x14ac:dyDescent="0.25">
      <c r="A52" s="30">
        <v>1.2</v>
      </c>
      <c r="B52" s="32">
        <v>0.17</v>
      </c>
    </row>
    <row r="53" spans="1:2" x14ac:dyDescent="0.25">
      <c r="A53" s="30">
        <v>1.3</v>
      </c>
      <c r="B53" s="32">
        <v>0.18</v>
      </c>
    </row>
    <row r="54" spans="1:2" x14ac:dyDescent="0.25">
      <c r="A54" s="30">
        <v>1.4</v>
      </c>
      <c r="B54" s="32">
        <v>0.19</v>
      </c>
    </row>
    <row r="55" spans="1:2" x14ac:dyDescent="0.25">
      <c r="A55" s="30">
        <v>1.5</v>
      </c>
      <c r="B55" s="32">
        <v>0.2</v>
      </c>
    </row>
    <row r="56" spans="1:2" x14ac:dyDescent="0.25">
      <c r="A56" s="30">
        <v>1.6</v>
      </c>
      <c r="B56" s="32">
        <v>0.21</v>
      </c>
    </row>
    <row r="57" spans="1:2" x14ac:dyDescent="0.25">
      <c r="A57" s="30">
        <v>1.7</v>
      </c>
      <c r="B57" s="32">
        <v>0.22</v>
      </c>
    </row>
    <row r="58" spans="1:2" x14ac:dyDescent="0.25">
      <c r="A58" s="30">
        <v>1.8</v>
      </c>
      <c r="B58" s="32">
        <v>0.23</v>
      </c>
    </row>
    <row r="59" spans="1:2" x14ac:dyDescent="0.25">
      <c r="A59" s="30">
        <v>1.9</v>
      </c>
      <c r="B59" s="32">
        <v>0.24</v>
      </c>
    </row>
    <row r="60" spans="1:2" x14ac:dyDescent="0.25">
      <c r="A60" s="30">
        <v>2</v>
      </c>
      <c r="B60" s="32">
        <v>0.25</v>
      </c>
    </row>
    <row r="61" spans="1:2" x14ac:dyDescent="0.25">
      <c r="A61" s="30">
        <v>2.1</v>
      </c>
      <c r="B61" s="32">
        <v>0.27210526315789502</v>
      </c>
    </row>
    <row r="62" spans="1:2" x14ac:dyDescent="0.25">
      <c r="A62" s="30">
        <v>2.2000000000000002</v>
      </c>
      <c r="B62" s="32">
        <v>0.28421052631578902</v>
      </c>
    </row>
    <row r="63" spans="1:2" x14ac:dyDescent="0.25">
      <c r="A63" s="30">
        <v>2.2999999999999998</v>
      </c>
      <c r="B63" s="32">
        <v>0.29631578947368398</v>
      </c>
    </row>
    <row r="64" spans="1:2" x14ac:dyDescent="0.25">
      <c r="A64" s="30">
        <v>2.4</v>
      </c>
      <c r="B64" s="32">
        <v>0.30842105263157898</v>
      </c>
    </row>
    <row r="65" spans="1:2" x14ac:dyDescent="0.25">
      <c r="A65" s="30">
        <v>2.5</v>
      </c>
      <c r="B65" s="32">
        <v>0.32052631578947399</v>
      </c>
    </row>
    <row r="66" spans="1:2" x14ac:dyDescent="0.25">
      <c r="A66" s="30">
        <v>2.6</v>
      </c>
      <c r="B66" s="32">
        <v>0.332631578947368</v>
      </c>
    </row>
    <row r="67" spans="1:2" x14ac:dyDescent="0.25">
      <c r="A67" s="30">
        <v>2.7</v>
      </c>
      <c r="B67" s="32">
        <v>0.34473684210526301</v>
      </c>
    </row>
    <row r="68" spans="1:2" x14ac:dyDescent="0.25">
      <c r="A68" s="30">
        <v>2.8</v>
      </c>
      <c r="B68" s="32">
        <v>0.35684210526315802</v>
      </c>
    </row>
    <row r="69" spans="1:2" x14ac:dyDescent="0.25">
      <c r="A69" s="30">
        <v>2.9</v>
      </c>
      <c r="B69" s="32">
        <v>0.36894736842105302</v>
      </c>
    </row>
    <row r="70" spans="1:2" x14ac:dyDescent="0.25">
      <c r="A70" s="30">
        <v>3</v>
      </c>
      <c r="B70" s="32">
        <v>0.38105263157894698</v>
      </c>
    </row>
    <row r="71" spans="1:2" x14ac:dyDescent="0.25">
      <c r="A71" s="30">
        <v>3.1</v>
      </c>
      <c r="B71" s="32">
        <v>0.39315789473684198</v>
      </c>
    </row>
    <row r="72" spans="1:2" x14ac:dyDescent="0.25">
      <c r="A72" s="30">
        <v>3.2</v>
      </c>
      <c r="B72" s="32">
        <v>0.40526315789473699</v>
      </c>
    </row>
    <row r="73" spans="1:2" x14ac:dyDescent="0.25">
      <c r="A73" s="30">
        <v>3.3</v>
      </c>
      <c r="B73" s="32">
        <v>0.417368421052632</v>
      </c>
    </row>
    <row r="74" spans="1:2" x14ac:dyDescent="0.25">
      <c r="A74" s="30">
        <v>3.4</v>
      </c>
      <c r="B74" s="32">
        <v>0.42947368421052601</v>
      </c>
    </row>
    <row r="75" spans="1:2" x14ac:dyDescent="0.25">
      <c r="A75" s="30">
        <v>3.5</v>
      </c>
      <c r="B75" s="32">
        <v>0.44157894736842102</v>
      </c>
    </row>
    <row r="76" spans="1:2" x14ac:dyDescent="0.25">
      <c r="A76" s="30">
        <v>3.6</v>
      </c>
      <c r="B76" s="32">
        <v>0.45368421052631602</v>
      </c>
    </row>
    <row r="77" spans="1:2" x14ac:dyDescent="0.25">
      <c r="A77" s="30">
        <v>3.7</v>
      </c>
      <c r="B77" s="32">
        <v>0.46578947368421098</v>
      </c>
    </row>
    <row r="78" spans="1:2" x14ac:dyDescent="0.25">
      <c r="A78" s="30">
        <v>3.8</v>
      </c>
      <c r="B78" s="32">
        <v>0.47789473684210498</v>
      </c>
    </row>
    <row r="79" spans="1:2" x14ac:dyDescent="0.25">
      <c r="A79" s="30">
        <v>3.9</v>
      </c>
      <c r="B79" s="32">
        <v>0.49</v>
      </c>
    </row>
    <row r="80" spans="1:2" x14ac:dyDescent="0.25">
      <c r="A80" s="30">
        <v>4</v>
      </c>
      <c r="B80" s="32">
        <v>0.50210526315789505</v>
      </c>
    </row>
    <row r="81" spans="1:2" x14ac:dyDescent="0.25">
      <c r="A81" s="30">
        <v>4.0999999999999996</v>
      </c>
      <c r="B81" s="32">
        <v>0.51421052631579001</v>
      </c>
    </row>
    <row r="82" spans="1:2" x14ac:dyDescent="0.25">
      <c r="A82" s="30">
        <v>4.2</v>
      </c>
      <c r="B82" s="32">
        <v>0.52631578947368396</v>
      </c>
    </row>
    <row r="83" spans="1:2" x14ac:dyDescent="0.25">
      <c r="A83" s="30">
        <v>4.3</v>
      </c>
      <c r="B83" s="32">
        <v>0.53842105263157902</v>
      </c>
    </row>
    <row r="84" spans="1:2" x14ac:dyDescent="0.25">
      <c r="A84" s="30">
        <v>4.4000000000000004</v>
      </c>
      <c r="B84" s="32">
        <v>0.55052631578947397</v>
      </c>
    </row>
    <row r="85" spans="1:2" x14ac:dyDescent="0.25">
      <c r="A85" s="30">
        <v>4.5</v>
      </c>
      <c r="B85" s="32">
        <v>0.56263157894736804</v>
      </c>
    </row>
    <row r="86" spans="1:2" x14ac:dyDescent="0.25">
      <c r="A86" s="30">
        <v>4.5999999999999996</v>
      </c>
      <c r="B86" s="32">
        <v>0.57473684210526299</v>
      </c>
    </row>
    <row r="87" spans="1:2" x14ac:dyDescent="0.25">
      <c r="A87" s="30">
        <v>4.7</v>
      </c>
      <c r="B87" s="32">
        <v>0.58684210526315805</v>
      </c>
    </row>
    <row r="88" spans="1:2" x14ac:dyDescent="0.25">
      <c r="A88" s="30">
        <v>4.8</v>
      </c>
      <c r="B88" s="32">
        <v>0.59894736842105301</v>
      </c>
    </row>
    <row r="89" spans="1:2" x14ac:dyDescent="0.25">
      <c r="A89" s="30">
        <v>4.9000000000000004</v>
      </c>
      <c r="B89" s="32">
        <v>0.61105263157894696</v>
      </c>
    </row>
    <row r="90" spans="1:2" x14ac:dyDescent="0.25">
      <c r="A90" s="30">
        <v>5</v>
      </c>
      <c r="B90" s="32">
        <v>0.62315789473684202</v>
      </c>
    </row>
    <row r="91" spans="1:2" x14ac:dyDescent="0.25">
      <c r="A91" s="30">
        <v>5.0999999999999996</v>
      </c>
      <c r="B91" s="32">
        <v>0.63526315789473697</v>
      </c>
    </row>
    <row r="92" spans="1:2" x14ac:dyDescent="0.25">
      <c r="A92" s="30">
        <v>5.2</v>
      </c>
      <c r="B92" s="32">
        <v>0.64736842105263204</v>
      </c>
    </row>
    <row r="93" spans="1:2" x14ac:dyDescent="0.25">
      <c r="A93" s="30">
        <v>5.3</v>
      </c>
      <c r="B93" s="32">
        <v>0.65947368421052599</v>
      </c>
    </row>
    <row r="94" spans="1:2" x14ac:dyDescent="0.25">
      <c r="A94" s="30">
        <v>5.4</v>
      </c>
      <c r="B94" s="32">
        <v>0.67157894736842105</v>
      </c>
    </row>
    <row r="95" spans="1:2" x14ac:dyDescent="0.25">
      <c r="A95" s="30">
        <v>5.5</v>
      </c>
      <c r="B95" s="32">
        <v>0.68368421052631601</v>
      </c>
    </row>
    <row r="96" spans="1:2" x14ac:dyDescent="0.25">
      <c r="A96" s="30">
        <v>5.6</v>
      </c>
      <c r="B96" s="32">
        <v>0.69578947368421096</v>
      </c>
    </row>
    <row r="97" spans="1:2" x14ac:dyDescent="0.25">
      <c r="A97" s="30">
        <v>5.7</v>
      </c>
      <c r="B97" s="32">
        <v>0.70789473684210502</v>
      </c>
    </row>
    <row r="98" spans="1:2" x14ac:dyDescent="0.25">
      <c r="A98" s="30">
        <v>5.8</v>
      </c>
      <c r="B98" s="32">
        <v>0.72</v>
      </c>
    </row>
    <row r="99" spans="1:2" x14ac:dyDescent="0.25">
      <c r="A99" s="30">
        <v>5.9</v>
      </c>
      <c r="B99" s="32">
        <v>0.73210526315789504</v>
      </c>
    </row>
    <row r="100" spans="1:2" x14ac:dyDescent="0.25">
      <c r="A100" s="30">
        <v>6</v>
      </c>
      <c r="B100" s="32">
        <v>0.74421052631578999</v>
      </c>
    </row>
    <row r="101" spans="1:2" x14ac:dyDescent="0.25">
      <c r="A101" s="30">
        <v>6.1</v>
      </c>
      <c r="B101" s="32">
        <v>0.75631578947368405</v>
      </c>
    </row>
    <row r="102" spans="1:2" x14ac:dyDescent="0.25">
      <c r="A102" s="30">
        <v>6.2</v>
      </c>
      <c r="B102" s="32">
        <v>0.768421052631579</v>
      </c>
    </row>
    <row r="103" spans="1:2" x14ac:dyDescent="0.25">
      <c r="A103" s="30">
        <v>6.3</v>
      </c>
      <c r="B103" s="32">
        <v>0.78052631578947396</v>
      </c>
    </row>
    <row r="104" spans="1:2" x14ac:dyDescent="0.25">
      <c r="A104" s="30">
        <v>6.4</v>
      </c>
      <c r="B104" s="32">
        <v>0.79263157894736902</v>
      </c>
    </row>
    <row r="105" spans="1:2" x14ac:dyDescent="0.25">
      <c r="A105" s="30">
        <v>6.5</v>
      </c>
      <c r="B105" s="32">
        <v>0.80473684210526297</v>
      </c>
    </row>
    <row r="106" spans="1:2" x14ac:dyDescent="0.25">
      <c r="A106" s="30">
        <v>6.6</v>
      </c>
      <c r="B106" s="32">
        <v>0.81684210526315804</v>
      </c>
    </row>
    <row r="107" spans="1:2" x14ac:dyDescent="0.25">
      <c r="A107" s="30">
        <v>6.7</v>
      </c>
      <c r="B107" s="32">
        <v>0.82894736842105299</v>
      </c>
    </row>
    <row r="108" spans="1:2" x14ac:dyDescent="0.25">
      <c r="A108" s="30">
        <v>6.8</v>
      </c>
      <c r="B108" s="32">
        <v>0.84105263157894705</v>
      </c>
    </row>
    <row r="109" spans="1:2" x14ac:dyDescent="0.25">
      <c r="A109" s="30">
        <v>6.9</v>
      </c>
      <c r="B109" s="32">
        <v>0.853157894736842</v>
      </c>
    </row>
    <row r="110" spans="1:2" x14ac:dyDescent="0.25">
      <c r="A110" s="30">
        <v>7</v>
      </c>
      <c r="B110" s="32">
        <v>0.86526315789473696</v>
      </c>
    </row>
    <row r="111" spans="1:2" x14ac:dyDescent="0.25">
      <c r="A111" s="30">
        <v>7.1</v>
      </c>
      <c r="B111" s="32">
        <v>0.87736842105263202</v>
      </c>
    </row>
    <row r="112" spans="1:2" x14ac:dyDescent="0.25">
      <c r="A112" s="30">
        <v>7.2</v>
      </c>
      <c r="B112" s="32">
        <v>0.88947368421052697</v>
      </c>
    </row>
    <row r="113" spans="1:2" x14ac:dyDescent="0.25">
      <c r="A113" s="30">
        <v>7.3</v>
      </c>
      <c r="B113" s="32">
        <v>0.90157894736842104</v>
      </c>
    </row>
    <row r="114" spans="1:2" x14ac:dyDescent="0.25">
      <c r="A114" s="30">
        <v>7.4</v>
      </c>
      <c r="B114" s="32">
        <v>0.91368421052631599</v>
      </c>
    </row>
    <row r="115" spans="1:2" x14ac:dyDescent="0.25">
      <c r="A115" s="30">
        <v>7.5</v>
      </c>
      <c r="B115" s="32">
        <v>0.92578947368421105</v>
      </c>
    </row>
    <row r="116" spans="1:2" x14ac:dyDescent="0.25">
      <c r="A116" s="30">
        <v>7.6</v>
      </c>
      <c r="B116" s="32">
        <v>0.937894736842105</v>
      </c>
    </row>
    <row r="117" spans="1:2" x14ac:dyDescent="0.25">
      <c r="A117" s="30">
        <v>7.7</v>
      </c>
      <c r="B117" s="32">
        <v>0.95</v>
      </c>
    </row>
    <row r="118" spans="1:2" x14ac:dyDescent="0.25">
      <c r="A118" s="30">
        <v>7.8</v>
      </c>
      <c r="B118" s="32">
        <v>0.96210526315789502</v>
      </c>
    </row>
    <row r="119" spans="1:2" x14ac:dyDescent="0.25">
      <c r="A119" s="30">
        <v>7.9</v>
      </c>
      <c r="B119" s="32">
        <v>0.97421052631578997</v>
      </c>
    </row>
    <row r="120" spans="1:2" x14ac:dyDescent="0.25">
      <c r="A120" s="30">
        <v>8</v>
      </c>
      <c r="B120" s="32">
        <v>0.98631578947368403</v>
      </c>
    </row>
    <row r="121" spans="1:2" x14ac:dyDescent="0.25">
      <c r="A121" s="30">
        <v>8.1</v>
      </c>
      <c r="B121" s="32">
        <v>0.99842105263157899</v>
      </c>
    </row>
  </sheetData>
  <mergeCells count="5">
    <mergeCell ref="A1:D1"/>
    <mergeCell ref="A11:D12"/>
    <mergeCell ref="A37:C37"/>
    <mergeCell ref="A39:B39"/>
    <mergeCell ref="F15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Skraplacze oszczędność</vt:lpstr>
      <vt:lpstr>Kotły oczędność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ks2503</cp:lastModifiedBy>
  <dcterms:created xsi:type="dcterms:W3CDTF">2026-05-28T11:09:46Z</dcterms:created>
  <dcterms:modified xsi:type="dcterms:W3CDTF">2026-07-02T12:58:00Z</dcterms:modified>
</cp:coreProperties>
</file>